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3900" yWindow="3900" windowWidth="28800" windowHeight="15435" activeTab="2"/>
  </bookViews>
  <sheets>
    <sheet name="الجمعية" sheetId="1" r:id="rId1"/>
    <sheet name="التثويبات" sheetId="3" r:id="rId2"/>
    <sheet name="المصروفات" sheetId="2" r:id="rId3"/>
    <sheet name="سيد علي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2" i="1" l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5" i="4"/>
  <c r="B7" i="2"/>
  <c r="B8" i="2"/>
  <c r="B9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6" i="2"/>
  <c r="B9" i="3"/>
  <c r="B10" i="3"/>
  <c r="B11" i="3"/>
  <c r="B12" i="3"/>
  <c r="B13" i="3"/>
  <c r="B14" i="3"/>
  <c r="B15" i="3"/>
  <c r="B16" i="3"/>
  <c r="B17" i="3"/>
  <c r="B18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8" i="3"/>
  <c r="G3" i="4"/>
  <c r="G3" i="2"/>
  <c r="D2" i="4"/>
  <c r="H5" i="3"/>
  <c r="C3" i="3"/>
  <c r="D4" i="1" s="1"/>
  <c r="D2" i="2"/>
  <c r="D3" i="1" s="1"/>
  <c r="H5" i="1"/>
  <c r="D5" i="1" l="1"/>
</calcChain>
</file>

<file path=xl/sharedStrings.xml><?xml version="1.0" encoding="utf-8"?>
<sst xmlns="http://schemas.openxmlformats.org/spreadsheetml/2006/main" count="302" uniqueCount="135">
  <si>
    <t>الجمعية</t>
  </si>
  <si>
    <t>الشهر</t>
  </si>
  <si>
    <t>تاريخ الاستلام</t>
  </si>
  <si>
    <t>الدفعة</t>
  </si>
  <si>
    <t>ملاحظات</t>
  </si>
  <si>
    <t>مايو</t>
  </si>
  <si>
    <t>08.05.2024</t>
  </si>
  <si>
    <t>تم التسليم قبل الموعد المتفق</t>
  </si>
  <si>
    <t>المصروفات</t>
  </si>
  <si>
    <t>الإيداع</t>
  </si>
  <si>
    <t>من</t>
  </si>
  <si>
    <t>م ف</t>
  </si>
  <si>
    <t>مجمـــوع</t>
  </si>
  <si>
    <t>17.05.2024</t>
  </si>
  <si>
    <t>المشتريات</t>
  </si>
  <si>
    <t>كيبل تايت</t>
  </si>
  <si>
    <t>16.05.2024</t>
  </si>
  <si>
    <t>تصليح السماعات</t>
  </si>
  <si>
    <t>مجموع المصروفات</t>
  </si>
  <si>
    <t>28.05.2024</t>
  </si>
  <si>
    <t>القمبل</t>
  </si>
  <si>
    <t>14.06.2024</t>
  </si>
  <si>
    <t>قسط القمبل 2</t>
  </si>
  <si>
    <t>قسط القمبل 1</t>
  </si>
  <si>
    <t>26.06.2024</t>
  </si>
  <si>
    <t>يونيو</t>
  </si>
  <si>
    <t>المتبقي حالياً</t>
  </si>
  <si>
    <t>مبلغ التثويبات</t>
  </si>
  <si>
    <t>س.ع</t>
  </si>
  <si>
    <t>م.ف</t>
  </si>
  <si>
    <t>مصروفات الإعلامية</t>
  </si>
  <si>
    <t>التوصيلات</t>
  </si>
  <si>
    <t>توصيلات الصوت</t>
  </si>
  <si>
    <t>التثويبات</t>
  </si>
  <si>
    <t>مصروفات الموكب</t>
  </si>
  <si>
    <t>27.06.2024</t>
  </si>
  <si>
    <t>28.06.2024</t>
  </si>
  <si>
    <t>29.06.2024</t>
  </si>
  <si>
    <t>نقل 10 دينار من التثويبات للجمعية</t>
  </si>
  <si>
    <t>02.07.2024</t>
  </si>
  <si>
    <t>يوليو</t>
  </si>
  <si>
    <t>س ع</t>
  </si>
  <si>
    <t>13.07.2024</t>
  </si>
  <si>
    <t>07.07.2024</t>
  </si>
  <si>
    <t>10.07.2024</t>
  </si>
  <si>
    <t>12.07.2024</t>
  </si>
  <si>
    <t>ارسال المبلغ لجاسم</t>
  </si>
  <si>
    <t>هاردسك</t>
  </si>
  <si>
    <t>كشاف</t>
  </si>
  <si>
    <t>من زوم</t>
  </si>
  <si>
    <t>ع ح</t>
  </si>
  <si>
    <t>09.07.2024</t>
  </si>
  <si>
    <t>16.07.2024</t>
  </si>
  <si>
    <t>قسط القمبل 3</t>
  </si>
  <si>
    <t>واير بيت عيسى راشد</t>
  </si>
  <si>
    <t>واير عبدالله علي رضا</t>
  </si>
  <si>
    <t>دفع</t>
  </si>
  <si>
    <t>20.07.2024</t>
  </si>
  <si>
    <t>ج ح</t>
  </si>
  <si>
    <t>دفع المشتريات</t>
  </si>
  <si>
    <t>خصم من المبلغ ؟</t>
  </si>
  <si>
    <t>23.07.2024</t>
  </si>
  <si>
    <t>أغسطس</t>
  </si>
  <si>
    <t>02.08.2024</t>
  </si>
  <si>
    <t>12.09.2024</t>
  </si>
  <si>
    <t>ح ع</t>
  </si>
  <si>
    <t>قسط القمبل 4</t>
  </si>
  <si>
    <t>02.09.2024</t>
  </si>
  <si>
    <t>سبتمبر</t>
  </si>
  <si>
    <t>استلمت المبلغ لاكمال قسط القمبل</t>
  </si>
  <si>
    <t>أكتوبر</t>
  </si>
  <si>
    <t>16.10.2024</t>
  </si>
  <si>
    <t>ديسمبر</t>
  </si>
  <si>
    <t>04.12.2024</t>
  </si>
  <si>
    <t>16.01.2025</t>
  </si>
  <si>
    <t>يناير</t>
  </si>
  <si>
    <t>فبراير</t>
  </si>
  <si>
    <t>16.02.2025</t>
  </si>
  <si>
    <t>18.03.2025</t>
  </si>
  <si>
    <t>مارس</t>
  </si>
  <si>
    <t>ابريل</t>
  </si>
  <si>
    <t>29.04.2025</t>
  </si>
  <si>
    <t>23.06.2025</t>
  </si>
  <si>
    <t>ستاندات</t>
  </si>
  <si>
    <t>تأخر قسط شهر 5 - 6</t>
  </si>
  <si>
    <t>الهندسة</t>
  </si>
  <si>
    <t>محمد سلمان</t>
  </si>
  <si>
    <t>27.06.2025</t>
  </si>
  <si>
    <t>29.06.2025</t>
  </si>
  <si>
    <t>المجموع كامل</t>
  </si>
  <si>
    <t>11.06.2025</t>
  </si>
  <si>
    <t>23.05.2025</t>
  </si>
  <si>
    <t>تعديل الحساب</t>
  </si>
  <si>
    <t>وايرات</t>
  </si>
  <si>
    <t>01.07.2025</t>
  </si>
  <si>
    <t>للتسجيل</t>
  </si>
  <si>
    <t>ع ف</t>
  </si>
  <si>
    <t>عشى</t>
  </si>
  <si>
    <t>عشى الرادود</t>
  </si>
  <si>
    <t>مبلغ من الجمعية</t>
  </si>
  <si>
    <t>07.07.2025</t>
  </si>
  <si>
    <t>16.07.2025</t>
  </si>
  <si>
    <t>18.07.2025</t>
  </si>
  <si>
    <t>20.08.2025</t>
  </si>
  <si>
    <t>بتاري</t>
  </si>
  <si>
    <t>15.08.2025</t>
  </si>
  <si>
    <t>مدفوع</t>
  </si>
  <si>
    <t>ع.ح</t>
  </si>
  <si>
    <t>مشترين بتاري</t>
  </si>
  <si>
    <t>10.08.2025</t>
  </si>
  <si>
    <t>06.07.2025</t>
  </si>
  <si>
    <t>14-10746</t>
  </si>
  <si>
    <t>رقم الرصيد</t>
  </si>
  <si>
    <t>23.08.2025</t>
  </si>
  <si>
    <t>تم الدفع</t>
  </si>
  <si>
    <t>ج</t>
  </si>
  <si>
    <t>مبلغ وايرات ع ح</t>
  </si>
  <si>
    <t>18.10.2025</t>
  </si>
  <si>
    <t>20.10.2025</t>
  </si>
  <si>
    <t>نوفمبر</t>
  </si>
  <si>
    <t>20.11.2025</t>
  </si>
  <si>
    <t>31.10.2025</t>
  </si>
  <si>
    <t>01.09.2029</t>
  </si>
  <si>
    <t>02.12.2025</t>
  </si>
  <si>
    <t>18.12.2025</t>
  </si>
  <si>
    <t>24.12.2025</t>
  </si>
  <si>
    <t>تكملة الجمعية</t>
  </si>
  <si>
    <t>رجب 1447</t>
  </si>
  <si>
    <t>محرم 1447</t>
  </si>
  <si>
    <t>15.01.2026</t>
  </si>
  <si>
    <t>نسى ما يجمع</t>
  </si>
  <si>
    <t>15.02.2026</t>
  </si>
  <si>
    <t>المبلغ الكلي</t>
  </si>
  <si>
    <t>للقمبل</t>
  </si>
  <si>
    <t>علي دفع من المبلغ الي عنده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</si>
</sst>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[$-409]d\-mmm\-yyyy;@"/>
  </numFmts>
  <fonts count="38">
    <font>
      <sz val="12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0" tint="-4.9989318521683403E-2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b/>
      <sz val="18"/>
      <color theme="9" tint="-0.249977111117893"/>
      <name val="Arial"/>
      <family val="2"/>
    </font>
    <font>
      <b/>
      <sz val="18"/>
      <color rgb="FFFF0000"/>
      <name val="Arial"/>
      <family val="2"/>
    </font>
    <font>
      <sz val="72"/>
      <color theme="1"/>
      <name val="Arial"/>
      <family val="2"/>
    </font>
    <font>
      <b/>
      <sz val="18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sz val="72"/>
      <color rgb="FF000000"/>
      <name val="Arial"/>
      <family val="2"/>
    </font>
    <font>
      <b/>
      <sz val="20"/>
      <color rgb="FF000000"/>
      <name val="Arial"/>
      <family val="2"/>
    </font>
    <font>
      <b/>
      <sz val="18"/>
      <color rgb="FFFFFFFF"/>
      <name val="Arial"/>
      <family val="2"/>
    </font>
    <font>
      <sz val="12"/>
      <color rgb="FF000000"/>
      <name val="Aptos Narrow"/>
      <family val="2"/>
      <scheme val="minor"/>
    </font>
    <font>
      <b/>
      <sz val="16"/>
      <color rgb="FF000000"/>
      <name val="Arial"/>
      <family val="2"/>
    </font>
    <font>
      <b/>
      <sz val="16"/>
      <color rgb="FFF2F2F2"/>
      <name val="Arial"/>
      <family val="2"/>
    </font>
    <font>
      <sz val="16"/>
      <color rgb="FF000000"/>
      <name val="Arial"/>
      <family val="2"/>
    </font>
    <font>
      <b/>
      <sz val="18"/>
      <color rgb="FF000000"/>
      <name val="Arial"/>
      <family val="2"/>
    </font>
    <font>
      <b/>
      <sz val="28"/>
      <color theme="1"/>
      <name val="Poppins Regular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20"/>
      <color theme="9" tint="-0.249977111117893"/>
      <name val="Arial"/>
      <family val="2"/>
    </font>
    <font>
      <b/>
      <sz val="28"/>
      <color rgb="FF000000"/>
      <name val="Arial"/>
      <family val="2"/>
    </font>
    <font>
      <b/>
      <sz val="28"/>
      <color rgb="FFFF0000"/>
      <name val="Poppins Regular"/>
    </font>
    <font>
      <b/>
      <sz val="24"/>
      <color theme="1"/>
      <name val="Poppins Regular"/>
    </font>
    <font>
      <b/>
      <sz val="18"/>
      <color theme="1"/>
      <name val="Poppins Regular"/>
    </font>
    <font>
      <b/>
      <sz val="24"/>
      <color rgb="FFFF0000"/>
      <name val="Poppins Regular"/>
    </font>
    <font>
      <b/>
      <sz val="16"/>
      <color theme="0"/>
      <name val="Arial"/>
      <family val="2"/>
    </font>
    <font>
      <b/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readingOrder="1"/>
    </xf>
    <xf numFmtId="0" fontId="15" fillId="0" borderId="0" xfId="0" applyFont="1" applyAlignment="1">
      <alignment vertical="center" readingOrder="1"/>
    </xf>
    <xf numFmtId="0" fontId="18" fillId="0" borderId="0" xfId="0" applyFont="1" applyAlignment="1">
      <alignment readingOrder="1"/>
    </xf>
    <xf numFmtId="0" fontId="19" fillId="0" borderId="0" xfId="0" applyFont="1" applyAlignment="1">
      <alignment horizontal="center" vertical="center" readingOrder="1"/>
    </xf>
    <xf numFmtId="0" fontId="21" fillId="0" borderId="0" xfId="0" applyFont="1" applyAlignment="1">
      <alignment horizontal="center" vertical="center" readingOrder="1"/>
    </xf>
    <xf numFmtId="0" fontId="16" fillId="0" borderId="13" xfId="0" applyFont="1" applyBorder="1" applyAlignment="1">
      <alignment horizontal="center" vertical="center" textRotation="180" readingOrder="2"/>
    </xf>
    <xf numFmtId="0" fontId="20" fillId="6" borderId="14" xfId="0" applyFont="1" applyFill="1" applyBorder="1" applyAlignment="1">
      <alignment horizontal="center" vertical="center" readingOrder="2"/>
    </xf>
    <xf numFmtId="0" fontId="20" fillId="6" borderId="15" xfId="0" applyFont="1" applyFill="1" applyBorder="1" applyAlignment="1">
      <alignment horizontal="center" vertical="center" readingOrder="2"/>
    </xf>
    <xf numFmtId="0" fontId="20" fillId="6" borderId="16" xfId="0" applyFont="1" applyFill="1" applyBorder="1" applyAlignment="1">
      <alignment horizontal="center" vertical="center" readingOrder="2"/>
    </xf>
    <xf numFmtId="0" fontId="22" fillId="0" borderId="17" xfId="0" applyFont="1" applyBorder="1" applyAlignment="1">
      <alignment horizontal="center" vertical="center" readingOrder="2"/>
    </xf>
    <xf numFmtId="0" fontId="22" fillId="0" borderId="18" xfId="0" applyFont="1" applyBorder="1" applyAlignment="1">
      <alignment horizontal="center" vertical="center" readingOrder="1"/>
    </xf>
    <xf numFmtId="164" fontId="9" fillId="0" borderId="18" xfId="0" applyNumberFormat="1" applyFont="1" applyBorder="1" applyAlignment="1">
      <alignment horizontal="center" vertical="center" readingOrder="1"/>
    </xf>
    <xf numFmtId="164" fontId="11" fillId="0" borderId="18" xfId="0" applyNumberFormat="1" applyFont="1" applyBorder="1" applyAlignment="1">
      <alignment horizontal="center" vertical="center" readingOrder="2"/>
    </xf>
    <xf numFmtId="0" fontId="22" fillId="0" borderId="19" xfId="0" applyFont="1" applyBorder="1" applyAlignment="1">
      <alignment horizontal="center" vertical="center" readingOrder="2"/>
    </xf>
    <xf numFmtId="0" fontId="22" fillId="0" borderId="19" xfId="0" applyFont="1" applyBorder="1" applyAlignment="1">
      <alignment horizontal="center" vertical="center" readingOrder="1"/>
    </xf>
    <xf numFmtId="0" fontId="22" fillId="0" borderId="17" xfId="0" applyFont="1" applyBorder="1" applyAlignment="1">
      <alignment horizontal="center" vertical="center" readingOrder="1"/>
    </xf>
    <xf numFmtId="0" fontId="11" fillId="0" borderId="18" xfId="0" applyFont="1" applyBorder="1" applyAlignment="1">
      <alignment horizontal="center" vertical="center" readingOrder="1"/>
    </xf>
    <xf numFmtId="0" fontId="22" fillId="0" borderId="20" xfId="0" applyFont="1" applyBorder="1" applyAlignment="1">
      <alignment horizontal="center" vertical="center" readingOrder="1"/>
    </xf>
    <xf numFmtId="0" fontId="22" fillId="0" borderId="21" xfId="0" applyFont="1" applyBorder="1" applyAlignment="1">
      <alignment horizontal="center" vertical="center" readingOrder="1"/>
    </xf>
    <xf numFmtId="164" fontId="9" fillId="0" borderId="21" xfId="0" applyNumberFormat="1" applyFont="1" applyBorder="1" applyAlignment="1">
      <alignment horizontal="center" vertical="center" readingOrder="1"/>
    </xf>
    <xf numFmtId="0" fontId="11" fillId="0" borderId="21" xfId="0" applyFont="1" applyBorder="1" applyAlignment="1">
      <alignment horizontal="center" vertical="center" readingOrder="1"/>
    </xf>
    <xf numFmtId="0" fontId="22" fillId="0" borderId="22" xfId="0" applyFont="1" applyBorder="1" applyAlignment="1">
      <alignment horizontal="center" vertical="center" readingOrder="1"/>
    </xf>
    <xf numFmtId="0" fontId="17" fillId="5" borderId="1" xfId="0" applyFont="1" applyFill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164" fontId="23" fillId="0" borderId="0" xfId="0" applyNumberFormat="1" applyFont="1" applyAlignment="1">
      <alignment horizontal="center" vertical="center"/>
    </xf>
    <xf numFmtId="165" fontId="22" fillId="10" borderId="19" xfId="0" applyNumberFormat="1" applyFont="1" applyFill="1" applyBorder="1" applyAlignment="1">
      <alignment horizontal="center" vertical="center" readingOrder="1"/>
    </xf>
    <xf numFmtId="164" fontId="9" fillId="0" borderId="4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 readingOrder="1"/>
    </xf>
    <xf numFmtId="164" fontId="30" fillId="0" borderId="23" xfId="0" applyNumberFormat="1" applyFont="1" applyBorder="1" applyAlignment="1">
      <alignment horizontal="center" vertical="center" readingOrder="1"/>
    </xf>
    <xf numFmtId="164" fontId="2" fillId="0" borderId="0" xfId="0" applyNumberFormat="1" applyFont="1" applyAlignment="1">
      <alignment horizontal="center" vertical="center"/>
    </xf>
    <xf numFmtId="164" fontId="31" fillId="0" borderId="25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22" fillId="0" borderId="26" xfId="0" applyFont="1" applyBorder="1" applyAlignment="1">
      <alignment horizontal="center" vertical="center" readingOrder="1"/>
    </xf>
    <xf numFmtId="164" fontId="33" fillId="0" borderId="23" xfId="0" applyNumberFormat="1" applyFont="1" applyBorder="1" applyAlignment="1">
      <alignment horizontal="center" vertical="center" readingOrder="1"/>
    </xf>
    <xf numFmtId="164" fontId="28" fillId="0" borderId="2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 readingOrder="1"/>
    </xf>
    <xf numFmtId="0" fontId="20" fillId="11" borderId="29" xfId="0" applyFont="1" applyFill="1" applyBorder="1" applyAlignment="1">
      <alignment horizontal="center" vertical="center" readingOrder="2"/>
    </xf>
    <xf numFmtId="0" fontId="6" fillId="11" borderId="18" xfId="0" applyFont="1" applyFill="1" applyBorder="1" applyAlignment="1">
      <alignment horizontal="center" vertical="center" readingOrder="1"/>
    </xf>
    <xf numFmtId="0" fontId="22" fillId="11" borderId="17" xfId="0" applyFont="1" applyFill="1" applyBorder="1" applyAlignment="1">
      <alignment horizontal="center" vertical="center" readingOrder="1"/>
    </xf>
    <xf numFmtId="164" fontId="9" fillId="11" borderId="18" xfId="0" applyNumberFormat="1" applyFont="1" applyFill="1" applyBorder="1" applyAlignment="1">
      <alignment horizontal="center" vertical="center" readingOrder="1"/>
    </xf>
    <xf numFmtId="0" fontId="11" fillId="11" borderId="18" xfId="0" applyFont="1" applyFill="1" applyBorder="1" applyAlignment="1">
      <alignment horizontal="center" vertical="center" readingOrder="1"/>
    </xf>
    <xf numFmtId="0" fontId="20" fillId="11" borderId="28" xfId="0" applyFont="1" applyFill="1" applyBorder="1" applyAlignment="1">
      <alignment horizontal="center" vertical="center" readingOrder="2"/>
    </xf>
    <xf numFmtId="0" fontId="4" fillId="11" borderId="30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34" fillId="11" borderId="7" xfId="0" applyFont="1" applyFill="1" applyBorder="1" applyAlignment="1">
      <alignment horizontal="center" vertical="center"/>
    </xf>
    <xf numFmtId="164" fontId="9" fillId="11" borderId="4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0" fillId="11" borderId="31" xfId="0" applyFont="1" applyFill="1" applyBorder="1" applyAlignment="1">
      <alignment horizontal="center" vertical="center" readingOrder="2"/>
    </xf>
    <xf numFmtId="0" fontId="22" fillId="0" borderId="32" xfId="0" applyFont="1" applyBorder="1" applyAlignment="1">
      <alignment horizontal="center" vertical="center" readingOrder="1"/>
    </xf>
    <xf numFmtId="0" fontId="22" fillId="11" borderId="32" xfId="0" applyFont="1" applyFill="1" applyBorder="1" applyAlignment="1">
      <alignment horizontal="center" vertical="center" readingOrder="1"/>
    </xf>
    <xf numFmtId="0" fontId="22" fillId="0" borderId="33" xfId="0" applyFont="1" applyBorder="1" applyAlignment="1">
      <alignment horizontal="center" vertical="center" readingOrder="1"/>
    </xf>
    <xf numFmtId="0" fontId="35" fillId="0" borderId="19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9" fillId="0" borderId="26" xfId="0" applyNumberFormat="1" applyFont="1" applyBorder="1" applyAlignment="1">
      <alignment horizontal="center" vertical="center"/>
    </xf>
    <xf numFmtId="0" fontId="5" fillId="12" borderId="36" xfId="0" applyFont="1" applyFill="1" applyBorder="1" applyAlignment="1">
      <alignment horizontal="center" vertical="center"/>
    </xf>
    <xf numFmtId="0" fontId="5" fillId="12" borderId="26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164" fontId="8" fillId="12" borderId="26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 readingOrder="1"/>
    </xf>
    <xf numFmtId="0" fontId="12" fillId="0" borderId="13" xfId="0" applyFont="1" applyBorder="1" applyAlignment="1">
      <alignment horizontal="center" vertical="center" textRotation="180"/>
    </xf>
    <xf numFmtId="0" fontId="24" fillId="0" borderId="0" xfId="0" applyFont="1" applyAlignment="1">
      <alignment horizontal="center" vertical="center"/>
    </xf>
    <xf numFmtId="164" fontId="23" fillId="0" borderId="25" xfId="0" applyNumberFormat="1" applyFont="1" applyBorder="1" applyAlignment="1">
      <alignment horizontal="center" vertical="center"/>
    </xf>
    <xf numFmtId="164" fontId="23" fillId="0" borderId="24" xfId="0" applyNumberFormat="1" applyFont="1" applyBorder="1" applyAlignment="1">
      <alignment horizontal="center" vertical="center"/>
    </xf>
    <xf numFmtId="164" fontId="23" fillId="9" borderId="25" xfId="0" applyNumberFormat="1" applyFont="1" applyFill="1" applyBorder="1" applyAlignment="1">
      <alignment horizontal="center" vertical="center"/>
    </xf>
    <xf numFmtId="164" fontId="23" fillId="9" borderId="24" xfId="0" applyNumberFormat="1" applyFont="1" applyFill="1" applyBorder="1" applyAlignment="1">
      <alignment horizontal="center" vertical="center"/>
    </xf>
    <xf numFmtId="164" fontId="37" fillId="0" borderId="39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H52"/>
  <sheetViews>
    <sheetView rightToLeft="1" zoomScaleNormal="100" workbookViewId="0">
      <selection activeCell="H5" sqref="H5"/>
    </sheetView>
  </sheetViews>
  <sheetFormatPr defaultColWidth="20.88671875" defaultRowHeight="26.1" customHeight="1"/>
  <cols>
    <col min="1" max="1" width="1.88671875" style="2" customWidth="1"/>
    <col min="2" max="2" width="4.44140625" style="2" bestFit="1" customWidth="1"/>
    <col min="3" max="3" width="14.109375" style="2" bestFit="1" customWidth="1"/>
    <col min="4" max="4" width="7" style="2" customWidth="1"/>
    <col min="5" max="5" width="17.44140625" style="2" customWidth="1"/>
    <col min="6" max="6" width="13.88671875" style="2" bestFit="1" customWidth="1"/>
    <col min="7" max="7" width="7.88671875" style="2" customWidth="1"/>
    <col min="8" max="8" width="37.109375" style="2" bestFit="1" customWidth="1"/>
    <col min="9" max="16384" width="20.88671875" style="2"/>
  </cols>
  <sheetData>
    <row r="1" spans="2:8" ht="26.1" customHeight="1" thickBot="1">
      <c r="D1" s="18"/>
      <c r="E1" s="18"/>
      <c r="F1" s="18"/>
      <c r="G1" s="18"/>
    </row>
    <row r="2" spans="2:8" ht="39.950000000000003" customHeight="1" thickBot="1">
      <c r="B2" s="113" t="s">
        <v>12</v>
      </c>
      <c r="C2" s="20" t="s">
        <v>0</v>
      </c>
      <c r="D2" s="115">
        <f>SUM(F8:F100)</f>
        <v>487.90000000000003</v>
      </c>
      <c r="E2" s="116"/>
      <c r="F2" s="114" t="s">
        <v>0</v>
      </c>
      <c r="G2" s="114"/>
      <c r="H2" s="114"/>
    </row>
    <row r="3" spans="2:8" ht="39.950000000000003" customHeight="1" thickBot="1">
      <c r="B3" s="113"/>
      <c r="C3" s="19" t="s">
        <v>8</v>
      </c>
      <c r="D3" s="115">
        <f>SUM(المصروفات!D2)</f>
        <v>431.9</v>
      </c>
      <c r="E3" s="116"/>
      <c r="F3" s="114"/>
      <c r="G3" s="114"/>
      <c r="H3" s="114"/>
    </row>
    <row r="4" spans="2:8" ht="39.950000000000003" customHeight="1" thickBot="1">
      <c r="B4" s="113"/>
      <c r="C4" s="49" t="s">
        <v>33</v>
      </c>
      <c r="D4" s="115">
        <f>التثويبات!C3</f>
        <v>0</v>
      </c>
      <c r="E4" s="116"/>
      <c r="F4" s="62"/>
      <c r="G4" s="48"/>
      <c r="H4" s="48"/>
    </row>
    <row r="5" spans="2:8" ht="39.950000000000003" customHeight="1" thickBot="1">
      <c r="B5" s="113"/>
      <c r="C5" s="50" t="s">
        <v>26</v>
      </c>
      <c r="D5" s="117">
        <f>SUM(D2-D3+D4)</f>
        <v>56.000000000000057</v>
      </c>
      <c r="E5" s="118"/>
      <c r="F5" s="57"/>
      <c r="G5"/>
      <c r="H5" s="109">
        <f ca="1">(TODAY())</f>
        <v>46086</v>
      </c>
    </row>
    <row r="6" spans="2:8" ht="12.95" customHeight="1" thickBot="1">
      <c r="B6" s="51"/>
      <c r="C6"/>
      <c r="D6" s="52"/>
      <c r="E6" s="52"/>
      <c r="G6" s="18"/>
      <c r="H6" s="21"/>
    </row>
    <row r="7" spans="2:8" s="1" customFormat="1" ht="39" customHeight="1" thickBot="1">
      <c r="C7" s="4" t="s">
        <v>1</v>
      </c>
      <c r="D7" s="4" t="s">
        <v>3</v>
      </c>
      <c r="E7" s="4" t="s">
        <v>2</v>
      </c>
      <c r="F7" s="4" t="s">
        <v>0</v>
      </c>
      <c r="G7" s="5" t="s">
        <v>10</v>
      </c>
      <c r="H7" s="5" t="s">
        <v>4</v>
      </c>
    </row>
    <row r="8" spans="2:8" s="3" customFormat="1" ht="26.1" customHeight="1">
      <c r="B8" s="3">
        <v>1</v>
      </c>
      <c r="C8" s="6" t="s">
        <v>5</v>
      </c>
      <c r="D8" s="13">
        <v>1</v>
      </c>
      <c r="E8" s="45" t="s">
        <v>6</v>
      </c>
      <c r="F8" s="9">
        <v>43.093000000000004</v>
      </c>
      <c r="G8" s="10" t="s">
        <v>29</v>
      </c>
      <c r="H8" s="14" t="s">
        <v>7</v>
      </c>
    </row>
    <row r="9" spans="2:8" ht="26.1" customHeight="1">
      <c r="B9" s="3">
        <v>2</v>
      </c>
      <c r="C9" s="6" t="s">
        <v>5</v>
      </c>
      <c r="D9" s="13">
        <v>2</v>
      </c>
      <c r="E9" s="45" t="s">
        <v>13</v>
      </c>
      <c r="F9" s="9">
        <v>38.5</v>
      </c>
      <c r="G9" s="10" t="s">
        <v>29</v>
      </c>
      <c r="H9" s="14"/>
    </row>
    <row r="10" spans="2:8" ht="26.1" customHeight="1">
      <c r="B10" s="3">
        <v>3</v>
      </c>
      <c r="C10" s="7" t="s">
        <v>25</v>
      </c>
      <c r="D10" s="13">
        <v>3</v>
      </c>
      <c r="E10" s="45" t="s">
        <v>21</v>
      </c>
      <c r="F10" s="9">
        <v>27</v>
      </c>
      <c r="G10" s="10" t="s">
        <v>29</v>
      </c>
      <c r="H10" s="14"/>
    </row>
    <row r="11" spans="2:8" ht="26.1" customHeight="1">
      <c r="B11" s="3">
        <v>4</v>
      </c>
      <c r="C11" s="7" t="s">
        <v>25</v>
      </c>
      <c r="D11" s="13">
        <v>4</v>
      </c>
      <c r="E11" s="45" t="s">
        <v>37</v>
      </c>
      <c r="F11" s="9">
        <v>10</v>
      </c>
      <c r="G11" s="10" t="s">
        <v>29</v>
      </c>
      <c r="H11" s="14" t="s">
        <v>38</v>
      </c>
    </row>
    <row r="12" spans="2:8" ht="26.1" customHeight="1">
      <c r="B12" s="3">
        <v>5</v>
      </c>
      <c r="C12" s="7" t="s">
        <v>40</v>
      </c>
      <c r="D12" s="13">
        <v>5</v>
      </c>
      <c r="E12" s="46" t="s">
        <v>52</v>
      </c>
      <c r="F12" s="9">
        <v>43</v>
      </c>
      <c r="G12" s="10" t="s">
        <v>29</v>
      </c>
      <c r="H12" s="14"/>
    </row>
    <row r="13" spans="2:8" ht="26.1" customHeight="1">
      <c r="B13" s="3">
        <v>6</v>
      </c>
      <c r="C13" s="7" t="s">
        <v>40</v>
      </c>
      <c r="D13" s="15"/>
      <c r="E13" s="46" t="s">
        <v>61</v>
      </c>
      <c r="F13" s="54">
        <v>-0.19600000000000001</v>
      </c>
      <c r="G13" s="11"/>
      <c r="H13" s="14" t="s">
        <v>60</v>
      </c>
    </row>
    <row r="14" spans="2:8" ht="26.1" customHeight="1">
      <c r="B14" s="3">
        <v>7</v>
      </c>
      <c r="C14" s="7" t="s">
        <v>62</v>
      </c>
      <c r="D14" s="15">
        <v>6</v>
      </c>
      <c r="E14" s="46" t="s">
        <v>63</v>
      </c>
      <c r="F14" s="9">
        <v>13</v>
      </c>
      <c r="G14" s="11" t="s">
        <v>29</v>
      </c>
      <c r="H14" s="14" t="s">
        <v>7</v>
      </c>
    </row>
    <row r="15" spans="2:8" ht="26.1" customHeight="1">
      <c r="B15" s="3">
        <v>8</v>
      </c>
      <c r="C15" s="7" t="s">
        <v>68</v>
      </c>
      <c r="D15" s="15">
        <v>7</v>
      </c>
      <c r="E15" s="46" t="s">
        <v>67</v>
      </c>
      <c r="F15" s="9">
        <v>27</v>
      </c>
      <c r="G15" s="11" t="s">
        <v>29</v>
      </c>
      <c r="H15" s="14"/>
    </row>
    <row r="16" spans="2:8" ht="26.1" customHeight="1">
      <c r="B16" s="3">
        <v>9</v>
      </c>
      <c r="C16" s="7" t="s">
        <v>68</v>
      </c>
      <c r="D16" s="15">
        <v>8</v>
      </c>
      <c r="E16" s="46" t="s">
        <v>64</v>
      </c>
      <c r="F16" s="9">
        <v>7</v>
      </c>
      <c r="G16" s="11" t="s">
        <v>58</v>
      </c>
      <c r="H16" s="14" t="s">
        <v>69</v>
      </c>
    </row>
    <row r="17" spans="2:8" ht="26.1" customHeight="1">
      <c r="B17" s="3">
        <v>10</v>
      </c>
      <c r="C17" s="7" t="s">
        <v>70</v>
      </c>
      <c r="D17" s="15">
        <v>9</v>
      </c>
      <c r="E17" s="46" t="s">
        <v>71</v>
      </c>
      <c r="F17" s="9">
        <v>24</v>
      </c>
      <c r="G17" s="11" t="s">
        <v>29</v>
      </c>
      <c r="H17" s="14"/>
    </row>
    <row r="18" spans="2:8" ht="26.1" customHeight="1">
      <c r="B18" s="3">
        <v>11</v>
      </c>
      <c r="C18" s="7" t="s">
        <v>72</v>
      </c>
      <c r="D18" s="15">
        <v>10</v>
      </c>
      <c r="E18" s="46" t="s">
        <v>73</v>
      </c>
      <c r="F18" s="9">
        <v>15</v>
      </c>
      <c r="G18" s="11" t="s">
        <v>29</v>
      </c>
      <c r="H18" s="14"/>
    </row>
    <row r="19" spans="2:8" ht="26.1" customHeight="1">
      <c r="B19" s="3">
        <v>12</v>
      </c>
      <c r="C19" s="7" t="s">
        <v>75</v>
      </c>
      <c r="D19" s="15">
        <v>11</v>
      </c>
      <c r="E19" s="46" t="s">
        <v>74</v>
      </c>
      <c r="F19" s="9">
        <v>24</v>
      </c>
      <c r="G19" s="11" t="s">
        <v>29</v>
      </c>
      <c r="H19" s="14"/>
    </row>
    <row r="20" spans="2:8" ht="26.1" customHeight="1">
      <c r="B20" s="3">
        <v>13</v>
      </c>
      <c r="C20" s="7" t="s">
        <v>76</v>
      </c>
      <c r="D20" s="15">
        <v>12</v>
      </c>
      <c r="E20" s="46" t="s">
        <v>77</v>
      </c>
      <c r="F20" s="9">
        <v>26</v>
      </c>
      <c r="G20" s="11" t="s">
        <v>29</v>
      </c>
      <c r="H20" s="14"/>
    </row>
    <row r="21" spans="2:8" ht="26.1" customHeight="1">
      <c r="B21" s="3">
        <v>14</v>
      </c>
      <c r="C21" s="7" t="s">
        <v>79</v>
      </c>
      <c r="D21" s="15">
        <v>13</v>
      </c>
      <c r="E21" s="46" t="s">
        <v>78</v>
      </c>
      <c r="F21" s="9">
        <v>20</v>
      </c>
      <c r="G21" s="11" t="s">
        <v>29</v>
      </c>
      <c r="H21" s="14"/>
    </row>
    <row r="22" spans="2:8" ht="26.1" customHeight="1">
      <c r="B22" s="3">
        <v>15</v>
      </c>
      <c r="C22" s="7" t="s">
        <v>80</v>
      </c>
      <c r="D22" s="15">
        <v>14</v>
      </c>
      <c r="E22" s="46" t="s">
        <v>81</v>
      </c>
      <c r="F22" s="9">
        <v>34</v>
      </c>
      <c r="G22" s="11" t="s">
        <v>29</v>
      </c>
      <c r="H22" s="14"/>
    </row>
    <row r="23" spans="2:8" ht="26.1" customHeight="1">
      <c r="B23" s="3">
        <v>16</v>
      </c>
      <c r="C23" s="7" t="s">
        <v>5</v>
      </c>
      <c r="D23" s="15">
        <v>15</v>
      </c>
      <c r="E23" s="46" t="s">
        <v>82</v>
      </c>
      <c r="F23" s="9">
        <v>21</v>
      </c>
      <c r="G23" s="11" t="s">
        <v>29</v>
      </c>
      <c r="H23" s="14" t="s">
        <v>84</v>
      </c>
    </row>
    <row r="24" spans="2:8" ht="26.1" customHeight="1">
      <c r="B24" s="3">
        <v>17</v>
      </c>
      <c r="C24" s="7" t="s">
        <v>25</v>
      </c>
      <c r="D24" s="15"/>
      <c r="E24" s="46" t="s">
        <v>88</v>
      </c>
      <c r="F24" s="54">
        <v>0.503</v>
      </c>
      <c r="G24" s="11" t="s">
        <v>28</v>
      </c>
      <c r="H24" s="14" t="s">
        <v>92</v>
      </c>
    </row>
    <row r="25" spans="2:8" ht="26.1" customHeight="1">
      <c r="B25" s="3">
        <v>18</v>
      </c>
      <c r="C25" s="7" t="s">
        <v>40</v>
      </c>
      <c r="D25" s="15">
        <v>16</v>
      </c>
      <c r="E25" s="63" t="s">
        <v>100</v>
      </c>
      <c r="F25" s="9">
        <v>3</v>
      </c>
      <c r="G25" s="11" t="s">
        <v>29</v>
      </c>
      <c r="H25" s="14" t="s">
        <v>99</v>
      </c>
    </row>
    <row r="26" spans="2:8" ht="26.1" customHeight="1">
      <c r="B26" s="3">
        <v>19</v>
      </c>
      <c r="C26" s="7" t="s">
        <v>40</v>
      </c>
      <c r="D26" s="15">
        <v>17</v>
      </c>
      <c r="E26" s="46" t="s">
        <v>101</v>
      </c>
      <c r="F26" s="9">
        <v>27</v>
      </c>
      <c r="G26" s="11" t="s">
        <v>29</v>
      </c>
      <c r="H26" s="14"/>
    </row>
    <row r="27" spans="2:8" ht="26.1" customHeight="1">
      <c r="B27" s="3">
        <v>20</v>
      </c>
      <c r="C27" s="7" t="s">
        <v>40</v>
      </c>
      <c r="D27" s="15"/>
      <c r="E27" s="46" t="s">
        <v>102</v>
      </c>
      <c r="F27" s="9">
        <v>-60</v>
      </c>
      <c r="G27" s="11" t="s">
        <v>28</v>
      </c>
      <c r="H27" s="14" t="s">
        <v>46</v>
      </c>
    </row>
    <row r="28" spans="2:8" ht="26.1" customHeight="1">
      <c r="B28" s="3">
        <v>21</v>
      </c>
      <c r="C28" s="7" t="s">
        <v>62</v>
      </c>
      <c r="D28" s="15"/>
      <c r="E28" s="46" t="s">
        <v>122</v>
      </c>
      <c r="F28" s="9">
        <v>3</v>
      </c>
      <c r="G28" s="11" t="s">
        <v>107</v>
      </c>
      <c r="H28" s="14" t="s">
        <v>108</v>
      </c>
    </row>
    <row r="29" spans="2:8" ht="26.1" customHeight="1">
      <c r="B29" s="3">
        <v>22</v>
      </c>
      <c r="C29" s="7" t="s">
        <v>62</v>
      </c>
      <c r="D29" s="15">
        <v>18</v>
      </c>
      <c r="E29" s="46" t="s">
        <v>103</v>
      </c>
      <c r="F29" s="9">
        <v>18</v>
      </c>
      <c r="G29" s="11" t="s">
        <v>29</v>
      </c>
      <c r="H29" s="14"/>
    </row>
    <row r="30" spans="2:8" ht="26.1" customHeight="1">
      <c r="B30" s="3">
        <v>23</v>
      </c>
      <c r="C30" s="7" t="s">
        <v>68</v>
      </c>
      <c r="D30" s="15">
        <v>19</v>
      </c>
      <c r="E30" s="46"/>
      <c r="F30" s="9">
        <v>32</v>
      </c>
      <c r="G30" s="11"/>
      <c r="H30" s="14"/>
    </row>
    <row r="31" spans="2:8" ht="26.1" customHeight="1">
      <c r="B31" s="3">
        <v>24</v>
      </c>
      <c r="C31" s="89" t="s">
        <v>70</v>
      </c>
      <c r="D31" s="90">
        <v>20</v>
      </c>
      <c r="E31" s="91" t="s">
        <v>117</v>
      </c>
      <c r="F31" s="92">
        <v>24</v>
      </c>
      <c r="G31" s="93" t="s">
        <v>29</v>
      </c>
      <c r="H31" s="14"/>
    </row>
    <row r="32" spans="2:8" ht="26.1" customHeight="1">
      <c r="B32" s="3">
        <v>25</v>
      </c>
      <c r="C32" s="94" t="s">
        <v>70</v>
      </c>
      <c r="D32" s="95">
        <v>21</v>
      </c>
      <c r="E32" s="96" t="s">
        <v>118</v>
      </c>
      <c r="F32" s="102">
        <v>7.26</v>
      </c>
      <c r="G32" s="93" t="s">
        <v>28</v>
      </c>
      <c r="H32" s="14" t="s">
        <v>92</v>
      </c>
    </row>
    <row r="33" spans="2:8" ht="26.1" customHeight="1">
      <c r="B33" s="3">
        <v>26</v>
      </c>
      <c r="C33" s="94"/>
      <c r="D33" s="95"/>
      <c r="E33" s="96" t="s">
        <v>121</v>
      </c>
      <c r="F33" s="92">
        <v>13</v>
      </c>
      <c r="G33" s="93" t="s">
        <v>29</v>
      </c>
      <c r="H33" s="98"/>
    </row>
    <row r="34" spans="2:8" ht="26.1" customHeight="1">
      <c r="B34" s="3">
        <v>27</v>
      </c>
      <c r="C34" s="94" t="s">
        <v>119</v>
      </c>
      <c r="D34" s="95">
        <v>23</v>
      </c>
      <c r="E34" s="96" t="s">
        <v>120</v>
      </c>
      <c r="F34" s="92">
        <v>21</v>
      </c>
      <c r="G34" s="93" t="s">
        <v>29</v>
      </c>
      <c r="H34" s="98"/>
    </row>
    <row r="35" spans="2:8" ht="26.1" customHeight="1">
      <c r="B35" s="3">
        <v>28</v>
      </c>
      <c r="C35" s="97"/>
      <c r="D35" s="95"/>
      <c r="E35" s="96" t="s">
        <v>123</v>
      </c>
      <c r="F35" s="102">
        <v>2.74</v>
      </c>
      <c r="G35" s="93" t="s">
        <v>28</v>
      </c>
      <c r="H35" s="14" t="s">
        <v>92</v>
      </c>
    </row>
    <row r="36" spans="2:8" ht="26.1" customHeight="1">
      <c r="B36" s="3">
        <v>29</v>
      </c>
      <c r="C36" s="94" t="s">
        <v>72</v>
      </c>
      <c r="D36" s="95">
        <v>24</v>
      </c>
      <c r="E36" s="96" t="s">
        <v>124</v>
      </c>
      <c r="F36" s="92">
        <v>18</v>
      </c>
      <c r="G36" s="93" t="s">
        <v>29</v>
      </c>
      <c r="H36" s="14"/>
    </row>
    <row r="37" spans="2:8" ht="26.1" customHeight="1">
      <c r="B37" s="3">
        <v>30</v>
      </c>
      <c r="C37" s="94" t="s">
        <v>72</v>
      </c>
      <c r="D37" s="95">
        <v>24</v>
      </c>
      <c r="E37" s="96" t="s">
        <v>125</v>
      </c>
      <c r="F37" s="92">
        <v>3</v>
      </c>
      <c r="G37" s="93" t="s">
        <v>29</v>
      </c>
      <c r="H37" s="14" t="s">
        <v>126</v>
      </c>
    </row>
    <row r="38" spans="2:8" ht="26.1" customHeight="1">
      <c r="B38" s="3">
        <v>31</v>
      </c>
      <c r="C38" s="103" t="s">
        <v>70</v>
      </c>
      <c r="D38" s="104">
        <v>20</v>
      </c>
      <c r="E38" s="105" t="s">
        <v>103</v>
      </c>
      <c r="F38" s="106">
        <v>3</v>
      </c>
      <c r="G38" s="107" t="s">
        <v>29</v>
      </c>
      <c r="H38" s="108" t="s">
        <v>126</v>
      </c>
    </row>
    <row r="39" spans="2:8" ht="26.1" customHeight="1">
      <c r="B39" s="3">
        <v>32</v>
      </c>
      <c r="C39" s="94" t="s">
        <v>75</v>
      </c>
      <c r="D39" s="95"/>
      <c r="E39" s="96" t="s">
        <v>129</v>
      </c>
      <c r="F39" s="92">
        <v>0</v>
      </c>
      <c r="G39" s="93" t="s">
        <v>29</v>
      </c>
      <c r="H39" s="14" t="s">
        <v>130</v>
      </c>
    </row>
    <row r="40" spans="2:8" ht="26.1" customHeight="1">
      <c r="B40" s="3">
        <v>33</v>
      </c>
      <c r="C40" s="94" t="s">
        <v>76</v>
      </c>
      <c r="D40" s="95"/>
      <c r="E40" s="96" t="s">
        <v>131</v>
      </c>
      <c r="F40" s="92">
        <v>0</v>
      </c>
      <c r="G40" s="93" t="s">
        <v>29</v>
      </c>
      <c r="H40" s="14" t="s">
        <v>130</v>
      </c>
    </row>
    <row r="41" spans="2:8" ht="26.1" customHeight="1">
      <c r="B41" s="3">
        <v>34</v>
      </c>
      <c r="C41" s="94"/>
      <c r="D41" s="95"/>
      <c r="E41" s="96"/>
      <c r="F41" s="92"/>
      <c r="G41" s="93"/>
      <c r="H41" s="14"/>
    </row>
    <row r="42" spans="2:8" ht="26.1" customHeight="1">
      <c r="B42" s="3">
        <v>35</v>
      </c>
      <c r="C42" s="94"/>
      <c r="D42" s="95"/>
      <c r="E42" s="96"/>
      <c r="F42" s="92"/>
      <c r="G42" s="93"/>
      <c r="H42" s="14"/>
    </row>
    <row r="43" spans="2:8" ht="26.1" customHeight="1">
      <c r="B43" s="3">
        <v>36</v>
      </c>
      <c r="C43" s="94"/>
      <c r="D43" s="95"/>
      <c r="E43" s="96"/>
      <c r="F43" s="92"/>
      <c r="G43" s="93"/>
      <c r="H43" s="14"/>
    </row>
    <row r="44" spans="2:8" ht="26.1" customHeight="1">
      <c r="B44" s="3">
        <v>37</v>
      </c>
      <c r="C44" s="94"/>
      <c r="D44" s="95"/>
      <c r="E44" s="96"/>
      <c r="F44" s="92"/>
      <c r="G44" s="93"/>
      <c r="H44" s="14"/>
    </row>
    <row r="45" spans="2:8" ht="26.1" customHeight="1">
      <c r="B45" s="3">
        <v>38</v>
      </c>
      <c r="C45" s="94"/>
      <c r="D45" s="95"/>
      <c r="E45" s="96"/>
      <c r="F45" s="92"/>
      <c r="G45" s="93"/>
      <c r="H45" s="14"/>
    </row>
    <row r="46" spans="2:8" ht="26.1" customHeight="1">
      <c r="B46" s="3">
        <v>39</v>
      </c>
      <c r="C46" s="94"/>
      <c r="D46" s="95"/>
      <c r="E46" s="96"/>
      <c r="F46" s="92"/>
      <c r="G46" s="93"/>
      <c r="H46" s="14"/>
    </row>
    <row r="47" spans="2:8" ht="26.1" customHeight="1">
      <c r="B47" s="3">
        <v>40</v>
      </c>
      <c r="C47" s="94"/>
      <c r="D47" s="95"/>
      <c r="E47" s="96"/>
      <c r="F47" s="92"/>
      <c r="G47" s="93"/>
      <c r="H47" s="14"/>
    </row>
    <row r="48" spans="2:8" ht="26.1" customHeight="1">
      <c r="B48" s="3">
        <v>41</v>
      </c>
      <c r="C48" s="94"/>
      <c r="D48" s="95"/>
      <c r="E48" s="96"/>
      <c r="F48" s="92"/>
      <c r="G48" s="93"/>
      <c r="H48" s="14"/>
    </row>
    <row r="49" spans="2:8" ht="26.1" customHeight="1">
      <c r="B49" s="3">
        <v>42</v>
      </c>
      <c r="C49" s="94"/>
      <c r="D49" s="95"/>
      <c r="E49" s="96"/>
      <c r="F49" s="92"/>
      <c r="G49" s="93"/>
      <c r="H49" s="14"/>
    </row>
    <row r="50" spans="2:8" ht="26.1" customHeight="1">
      <c r="B50" s="3">
        <v>43</v>
      </c>
      <c r="C50" s="94"/>
      <c r="D50" s="95"/>
      <c r="E50" s="96"/>
      <c r="F50" s="92"/>
      <c r="G50" s="93"/>
      <c r="H50" s="14"/>
    </row>
    <row r="51" spans="2:8" ht="26.1" customHeight="1">
      <c r="B51" s="3">
        <v>44</v>
      </c>
      <c r="C51" s="94"/>
      <c r="D51" s="95"/>
      <c r="E51" s="96"/>
      <c r="F51" s="92"/>
      <c r="G51" s="93"/>
      <c r="H51" s="14"/>
    </row>
    <row r="52" spans="2:8" ht="26.1" customHeight="1" thickBot="1">
      <c r="B52" s="3">
        <v>45</v>
      </c>
      <c r="C52" s="99"/>
      <c r="D52" s="100"/>
      <c r="E52" s="100"/>
      <c r="F52" s="100"/>
      <c r="G52" s="100"/>
      <c r="H52" s="101"/>
    </row>
  </sheetData>
  <mergeCells count="6">
    <mergeCell ref="B2:B5"/>
    <mergeCell ref="F2:H3"/>
    <mergeCell ref="D2:E2"/>
    <mergeCell ref="D3:E3"/>
    <mergeCell ref="D5:E5"/>
    <mergeCell ref="D4:E4"/>
  </mergeCells>
  <phoneticPr fontId="36" type="noConversion"/>
  <pageMargins left="0.7" right="0.7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H32"/>
  <sheetViews>
    <sheetView rightToLeft="1" zoomScaleNormal="100" workbookViewId="0">
      <selection activeCell="E8" sqref="E8"/>
    </sheetView>
  </sheetViews>
  <sheetFormatPr defaultColWidth="20.88671875" defaultRowHeight="15"/>
  <cols>
    <col min="1" max="1" width="1.88671875" style="2" customWidth="1"/>
    <col min="2" max="2" width="4.44140625" style="2" bestFit="1" customWidth="1"/>
    <col min="3" max="3" width="18" style="2" bestFit="1" customWidth="1"/>
    <col min="4" max="4" width="7" style="2" customWidth="1"/>
    <col min="5" max="5" width="14.6640625" style="2" bestFit="1" customWidth="1"/>
    <col min="6" max="6" width="13.44140625" style="2" bestFit="1" customWidth="1"/>
    <col min="7" max="7" width="7.88671875" style="2" customWidth="1"/>
    <col min="8" max="8" width="37.109375" style="2" bestFit="1" customWidth="1"/>
    <col min="9" max="16384" width="20.88671875" style="2"/>
  </cols>
  <sheetData>
    <row r="1" spans="2:8" ht="26.1" customHeight="1" thickBot="1">
      <c r="D1" s="18"/>
      <c r="E1" s="18"/>
      <c r="F1" s="18"/>
      <c r="G1" s="18"/>
    </row>
    <row r="2" spans="2:8" ht="45.95" customHeight="1" thickBot="1">
      <c r="B2" s="113" t="s">
        <v>12</v>
      </c>
      <c r="C2" s="20" t="s">
        <v>9</v>
      </c>
      <c r="D2" s="114" t="s">
        <v>33</v>
      </c>
      <c r="E2" s="114"/>
      <c r="F2" s="114"/>
      <c r="G2" s="114"/>
      <c r="H2" s="114"/>
    </row>
    <row r="3" spans="2:8" ht="45.95" customHeight="1" thickBot="1">
      <c r="B3" s="113"/>
      <c r="C3" s="58">
        <f>SUM(F8:F32)</f>
        <v>0</v>
      </c>
      <c r="D3" s="114"/>
      <c r="E3" s="114"/>
      <c r="F3" s="114"/>
      <c r="G3" s="114"/>
      <c r="H3" s="114"/>
    </row>
    <row r="4" spans="2:8" ht="45.75" thickBot="1">
      <c r="B4" s="51"/>
      <c r="C4" s="59" t="s">
        <v>89</v>
      </c>
      <c r="D4" s="119">
        <f>SUM(F8:F32)+270+190</f>
        <v>460</v>
      </c>
      <c r="E4" s="120"/>
      <c r="F4" s="110"/>
      <c r="G4" s="48"/>
      <c r="H4" s="48"/>
    </row>
    <row r="5" spans="2:8" customFormat="1" ht="35.1" customHeight="1" thickBot="1">
      <c r="H5" s="111">
        <f ca="1">(TODAY())</f>
        <v>46086</v>
      </c>
    </row>
    <row r="6" spans="2:8" s="1" customFormat="1" ht="39" customHeight="1" thickBot="1">
      <c r="C6" s="4" t="s">
        <v>1</v>
      </c>
      <c r="D6" s="4" t="s">
        <v>3</v>
      </c>
      <c r="E6" s="4" t="s">
        <v>2</v>
      </c>
      <c r="F6" s="4" t="s">
        <v>9</v>
      </c>
      <c r="G6" s="5" t="s">
        <v>10</v>
      </c>
      <c r="H6" s="5" t="s">
        <v>4</v>
      </c>
    </row>
    <row r="7" spans="2:8" s="1" customFormat="1" ht="39" customHeight="1">
      <c r="C7" s="71"/>
      <c r="D7" s="72"/>
      <c r="E7" s="73">
        <v>1446</v>
      </c>
      <c r="F7" s="72"/>
      <c r="G7" s="72"/>
      <c r="H7" s="74"/>
    </row>
    <row r="8" spans="2:8" s="3" customFormat="1" ht="26.1" customHeight="1">
      <c r="B8" s="3">
        <f>ROW()-5</f>
        <v>3</v>
      </c>
      <c r="C8" s="7" t="s">
        <v>25</v>
      </c>
      <c r="D8" s="15">
        <v>1</v>
      </c>
      <c r="E8" s="46" t="s">
        <v>24</v>
      </c>
      <c r="F8" s="9">
        <v>40</v>
      </c>
      <c r="G8" s="10" t="s">
        <v>11</v>
      </c>
      <c r="H8" s="14" t="s">
        <v>27</v>
      </c>
    </row>
    <row r="9" spans="2:8" ht="26.1" customHeight="1">
      <c r="B9" s="3">
        <f t="shared" ref="B9:B32" si="0">ROW()-5</f>
        <v>4</v>
      </c>
      <c r="C9" s="7" t="s">
        <v>25</v>
      </c>
      <c r="D9" s="15">
        <v>2</v>
      </c>
      <c r="E9" s="46" t="s">
        <v>24</v>
      </c>
      <c r="F9" s="9">
        <v>30</v>
      </c>
      <c r="G9" s="10" t="s">
        <v>11</v>
      </c>
      <c r="H9" s="14" t="s">
        <v>27</v>
      </c>
    </row>
    <row r="10" spans="2:8" ht="26.1" customHeight="1">
      <c r="B10" s="3">
        <f t="shared" si="0"/>
        <v>5</v>
      </c>
      <c r="C10" s="7" t="s">
        <v>25</v>
      </c>
      <c r="D10" s="15">
        <v>3</v>
      </c>
      <c r="E10" s="46" t="s">
        <v>35</v>
      </c>
      <c r="F10" s="9">
        <v>30</v>
      </c>
      <c r="G10" s="10" t="s">
        <v>11</v>
      </c>
      <c r="H10" s="14" t="s">
        <v>27</v>
      </c>
    </row>
    <row r="11" spans="2:8" ht="26.1" customHeight="1">
      <c r="B11" s="3">
        <f t="shared" si="0"/>
        <v>6</v>
      </c>
      <c r="C11" s="7" t="s">
        <v>25</v>
      </c>
      <c r="D11" s="15">
        <v>4</v>
      </c>
      <c r="E11" s="46" t="s">
        <v>36</v>
      </c>
      <c r="F11" s="9">
        <v>20</v>
      </c>
      <c r="G11" s="10" t="s">
        <v>11</v>
      </c>
      <c r="H11" s="14" t="s">
        <v>27</v>
      </c>
    </row>
    <row r="12" spans="2:8" ht="26.1" customHeight="1">
      <c r="B12" s="3">
        <f t="shared" si="0"/>
        <v>7</v>
      </c>
      <c r="C12" s="7" t="s">
        <v>25</v>
      </c>
      <c r="D12" s="15">
        <v>5</v>
      </c>
      <c r="E12" s="46" t="s">
        <v>37</v>
      </c>
      <c r="F12" s="9">
        <v>30</v>
      </c>
      <c r="G12" s="10" t="s">
        <v>11</v>
      </c>
      <c r="H12" s="14" t="s">
        <v>27</v>
      </c>
    </row>
    <row r="13" spans="2:8" ht="26.1" customHeight="1">
      <c r="B13" s="3">
        <f t="shared" si="0"/>
        <v>8</v>
      </c>
      <c r="C13" s="7" t="s">
        <v>25</v>
      </c>
      <c r="D13" s="15">
        <v>6</v>
      </c>
      <c r="E13" s="46" t="s">
        <v>37</v>
      </c>
      <c r="F13" s="54">
        <v>-10</v>
      </c>
      <c r="G13" s="10" t="s">
        <v>11</v>
      </c>
      <c r="H13" s="14" t="s">
        <v>38</v>
      </c>
    </row>
    <row r="14" spans="2:8" ht="26.1" customHeight="1">
      <c r="B14" s="3">
        <f t="shared" si="0"/>
        <v>9</v>
      </c>
      <c r="C14" s="7" t="s">
        <v>40</v>
      </c>
      <c r="D14" s="15">
        <v>7</v>
      </c>
      <c r="E14" s="46" t="s">
        <v>39</v>
      </c>
      <c r="F14" s="9">
        <v>70</v>
      </c>
      <c r="G14" s="10" t="s">
        <v>11</v>
      </c>
      <c r="H14" s="14" t="s">
        <v>27</v>
      </c>
    </row>
    <row r="15" spans="2:8" ht="26.1" customHeight="1">
      <c r="B15" s="3">
        <f t="shared" si="0"/>
        <v>10</v>
      </c>
      <c r="C15" s="7" t="s">
        <v>40</v>
      </c>
      <c r="D15" s="15">
        <v>8</v>
      </c>
      <c r="E15" s="46" t="s">
        <v>43</v>
      </c>
      <c r="F15" s="9">
        <v>10</v>
      </c>
      <c r="G15" s="10" t="s">
        <v>11</v>
      </c>
      <c r="H15" s="14" t="s">
        <v>27</v>
      </c>
    </row>
    <row r="16" spans="2:8" ht="26.1" customHeight="1">
      <c r="B16" s="3">
        <f t="shared" si="0"/>
        <v>11</v>
      </c>
      <c r="C16" s="7" t="s">
        <v>40</v>
      </c>
      <c r="D16" s="15">
        <v>9</v>
      </c>
      <c r="E16" s="46" t="s">
        <v>44</v>
      </c>
      <c r="F16" s="9">
        <v>30</v>
      </c>
      <c r="G16" s="10" t="s">
        <v>11</v>
      </c>
      <c r="H16" s="14" t="s">
        <v>27</v>
      </c>
    </row>
    <row r="17" spans="2:8" ht="26.1" customHeight="1">
      <c r="B17" s="3">
        <f t="shared" si="0"/>
        <v>12</v>
      </c>
      <c r="C17" s="7" t="s">
        <v>40</v>
      </c>
      <c r="D17" s="15">
        <v>10</v>
      </c>
      <c r="E17" s="46" t="s">
        <v>45</v>
      </c>
      <c r="F17" s="9">
        <v>20</v>
      </c>
      <c r="G17" s="10" t="s">
        <v>11</v>
      </c>
      <c r="H17" s="14" t="s">
        <v>27</v>
      </c>
    </row>
    <row r="18" spans="2:8" ht="26.1" customHeight="1">
      <c r="B18" s="3">
        <f t="shared" si="0"/>
        <v>13</v>
      </c>
      <c r="C18" s="7" t="s">
        <v>40</v>
      </c>
      <c r="D18" s="15"/>
      <c r="E18" s="46" t="s">
        <v>42</v>
      </c>
      <c r="F18" s="54">
        <v>-270</v>
      </c>
      <c r="G18" s="11" t="s">
        <v>41</v>
      </c>
      <c r="H18" s="14" t="s">
        <v>46</v>
      </c>
    </row>
    <row r="19" spans="2:8" ht="26.1" customHeight="1">
      <c r="B19" s="3"/>
      <c r="C19" s="75"/>
      <c r="D19" s="76"/>
      <c r="E19" s="77">
        <v>1447</v>
      </c>
      <c r="F19" s="78"/>
      <c r="G19" s="79"/>
      <c r="H19" s="80"/>
    </row>
    <row r="20" spans="2:8" ht="26.1" customHeight="1">
      <c r="B20" s="3">
        <f t="shared" si="0"/>
        <v>15</v>
      </c>
      <c r="C20" s="7" t="s">
        <v>25</v>
      </c>
      <c r="D20" s="15">
        <v>11</v>
      </c>
      <c r="E20" s="46" t="s">
        <v>87</v>
      </c>
      <c r="F20" s="9">
        <v>80</v>
      </c>
      <c r="G20" s="11" t="s">
        <v>11</v>
      </c>
      <c r="H20" s="14" t="s">
        <v>27</v>
      </c>
    </row>
    <row r="21" spans="2:8" ht="26.1" customHeight="1">
      <c r="B21" s="3">
        <f t="shared" si="0"/>
        <v>16</v>
      </c>
      <c r="C21" s="7" t="s">
        <v>25</v>
      </c>
      <c r="D21" s="15">
        <v>12</v>
      </c>
      <c r="E21" s="46" t="s">
        <v>88</v>
      </c>
      <c r="F21" s="9">
        <v>40</v>
      </c>
      <c r="G21" s="11" t="s">
        <v>11</v>
      </c>
      <c r="H21" s="14" t="s">
        <v>27</v>
      </c>
    </row>
    <row r="22" spans="2:8" ht="26.1" customHeight="1">
      <c r="B22" s="3">
        <f t="shared" si="0"/>
        <v>17</v>
      </c>
      <c r="C22" s="7" t="s">
        <v>40</v>
      </c>
      <c r="D22" s="15">
        <v>13</v>
      </c>
      <c r="E22" s="46" t="s">
        <v>100</v>
      </c>
      <c r="F22" s="9">
        <v>30</v>
      </c>
      <c r="G22" s="11" t="s">
        <v>11</v>
      </c>
      <c r="H22" s="14" t="s">
        <v>27</v>
      </c>
    </row>
    <row r="23" spans="2:8" ht="26.1" customHeight="1">
      <c r="B23" s="3">
        <f t="shared" si="0"/>
        <v>18</v>
      </c>
      <c r="C23" s="7" t="s">
        <v>40</v>
      </c>
      <c r="D23" s="15">
        <v>14</v>
      </c>
      <c r="E23" s="46" t="s">
        <v>101</v>
      </c>
      <c r="F23" s="9">
        <v>40</v>
      </c>
      <c r="G23" s="11" t="s">
        <v>11</v>
      </c>
      <c r="H23" s="14" t="s">
        <v>27</v>
      </c>
    </row>
    <row r="24" spans="2:8" ht="26.1" customHeight="1">
      <c r="B24" s="3">
        <f t="shared" si="0"/>
        <v>19</v>
      </c>
      <c r="C24" s="7" t="s">
        <v>40</v>
      </c>
      <c r="D24" s="15"/>
      <c r="E24" s="46" t="s">
        <v>102</v>
      </c>
      <c r="F24" s="54">
        <v>-190</v>
      </c>
      <c r="G24" s="11" t="s">
        <v>41</v>
      </c>
      <c r="H24" s="14" t="s">
        <v>46</v>
      </c>
    </row>
    <row r="25" spans="2:8" ht="26.1" customHeight="1">
      <c r="B25" s="3">
        <f t="shared" si="0"/>
        <v>20</v>
      </c>
      <c r="C25" s="7"/>
      <c r="D25" s="15"/>
      <c r="E25" s="46"/>
      <c r="F25" s="9"/>
      <c r="G25" s="11"/>
      <c r="H25" s="14"/>
    </row>
    <row r="26" spans="2:8" ht="26.1" customHeight="1">
      <c r="B26" s="3">
        <f t="shared" si="0"/>
        <v>21</v>
      </c>
      <c r="C26" s="7"/>
      <c r="D26" s="15"/>
      <c r="E26" s="46"/>
      <c r="F26" s="9"/>
      <c r="G26" s="11"/>
      <c r="H26" s="14"/>
    </row>
    <row r="27" spans="2:8" ht="26.1" customHeight="1">
      <c r="B27" s="3">
        <f t="shared" si="0"/>
        <v>22</v>
      </c>
      <c r="C27" s="7"/>
      <c r="D27" s="15"/>
      <c r="E27" s="46"/>
      <c r="F27" s="9"/>
      <c r="G27" s="11"/>
      <c r="H27" s="14"/>
    </row>
    <row r="28" spans="2:8" ht="26.1" customHeight="1">
      <c r="B28" s="3">
        <f t="shared" si="0"/>
        <v>23</v>
      </c>
      <c r="C28" s="7"/>
      <c r="D28" s="15"/>
      <c r="E28" s="46"/>
      <c r="F28" s="9"/>
      <c r="G28" s="11"/>
      <c r="H28" s="14"/>
    </row>
    <row r="29" spans="2:8" ht="26.1" customHeight="1">
      <c r="B29" s="3">
        <f t="shared" si="0"/>
        <v>24</v>
      </c>
      <c r="C29" s="7"/>
      <c r="D29" s="15"/>
      <c r="E29" s="46"/>
      <c r="F29" s="9"/>
      <c r="G29" s="11"/>
      <c r="H29" s="14"/>
    </row>
    <row r="30" spans="2:8" ht="26.1" customHeight="1">
      <c r="B30" s="3">
        <f t="shared" si="0"/>
        <v>25</v>
      </c>
      <c r="C30" s="7"/>
      <c r="D30" s="15"/>
      <c r="E30" s="46"/>
      <c r="F30" s="9"/>
      <c r="G30" s="11"/>
      <c r="H30" s="14"/>
    </row>
    <row r="31" spans="2:8" ht="26.1" customHeight="1">
      <c r="B31" s="3">
        <f t="shared" si="0"/>
        <v>26</v>
      </c>
      <c r="C31" s="7"/>
      <c r="D31" s="15"/>
      <c r="E31" s="46"/>
      <c r="F31" s="9"/>
      <c r="G31" s="11"/>
      <c r="H31" s="14"/>
    </row>
    <row r="32" spans="2:8" ht="26.1" customHeight="1" thickBot="1">
      <c r="B32" s="3">
        <f t="shared" si="0"/>
        <v>27</v>
      </c>
      <c r="C32" s="8"/>
      <c r="D32" s="16"/>
      <c r="E32" s="47"/>
      <c r="F32" s="47"/>
      <c r="G32" s="12"/>
      <c r="H32" s="17"/>
    </row>
  </sheetData>
  <mergeCells count="3">
    <mergeCell ref="B2:B3"/>
    <mergeCell ref="D2:H3"/>
    <mergeCell ref="D4:E4"/>
  </mergeCells>
  <pageMargins left="0.7" right="0.7" top="0.75" bottom="0.75" header="0.3" footer="0.3"/>
  <pageSetup paperSize="9" scale="7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34"/>
  <sheetViews>
    <sheetView rightToLeft="1" tabSelected="1" topLeftCell="A7" zoomScale="98" zoomScaleNormal="98" zoomScaleSheetLayoutView="154" workbookViewId="0">
      <selection activeCell="J17" sqref="J17"/>
    </sheetView>
  </sheetViews>
  <sheetFormatPr defaultColWidth="11" defaultRowHeight="24.95" customHeight="1"/>
  <cols>
    <col min="1" max="1" width="2.109375" customWidth="1"/>
    <col min="2" max="2" width="4.109375" bestFit="1" customWidth="1"/>
    <col min="3" max="3" width="12.6640625" bestFit="1" customWidth="1"/>
    <col min="4" max="4" width="24.33203125" customWidth="1"/>
    <col min="5" max="5" width="13.44140625" customWidth="1"/>
    <col min="6" max="6" width="7.109375" customWidth="1"/>
    <col min="7" max="7" width="19" bestFit="1" customWidth="1"/>
    <col min="8" max="8" width="19.21875" style="82" bestFit="1" customWidth="1"/>
  </cols>
  <sheetData>
    <row r="1" spans="1:8" ht="23.1" customHeight="1" thickBot="1">
      <c r="A1" s="22"/>
      <c r="B1" s="22"/>
      <c r="C1" s="22"/>
      <c r="D1" s="23"/>
      <c r="F1" s="23"/>
      <c r="G1" s="22"/>
    </row>
    <row r="2" spans="1:8" ht="75" customHeight="1" thickBot="1">
      <c r="A2" s="22"/>
      <c r="B2" s="27"/>
      <c r="C2" s="44" t="s">
        <v>18</v>
      </c>
      <c r="D2" s="56">
        <f>SUM(E6:E30)</f>
        <v>431.9</v>
      </c>
      <c r="E2" s="121" t="s">
        <v>30</v>
      </c>
      <c r="F2" s="121"/>
      <c r="G2" s="121"/>
    </row>
    <row r="3" spans="1:8" ht="24.95" customHeight="1" thickBot="1">
      <c r="A3" s="22"/>
      <c r="B3" s="22"/>
      <c r="C3" s="22"/>
      <c r="D3" s="24"/>
      <c r="E3" s="22"/>
      <c r="F3" s="23"/>
      <c r="G3" s="111">
        <f ca="1">(TODAY())</f>
        <v>46086</v>
      </c>
    </row>
    <row r="4" spans="1:8" ht="24.95" customHeight="1" thickTop="1">
      <c r="A4" s="25"/>
      <c r="B4" s="25"/>
      <c r="C4" s="28" t="s">
        <v>14</v>
      </c>
      <c r="D4" s="29" t="s">
        <v>2</v>
      </c>
      <c r="E4" s="29" t="s">
        <v>8</v>
      </c>
      <c r="F4" s="29"/>
      <c r="G4" s="30" t="s">
        <v>4</v>
      </c>
      <c r="H4" s="30" t="s">
        <v>112</v>
      </c>
    </row>
    <row r="5" spans="1:8" ht="24.95" customHeight="1">
      <c r="A5" s="25"/>
      <c r="B5" s="25"/>
      <c r="C5" s="70"/>
      <c r="D5" s="65">
        <v>1446</v>
      </c>
      <c r="E5" s="65"/>
      <c r="F5" s="65"/>
      <c r="G5" s="83"/>
      <c r="H5" s="87"/>
    </row>
    <row r="6" spans="1:8" ht="24.95" customHeight="1">
      <c r="A6" s="26"/>
      <c r="B6" s="26">
        <f>ROW()-4</f>
        <v>2</v>
      </c>
      <c r="C6" s="31" t="s">
        <v>20</v>
      </c>
      <c r="D6" s="32" t="s">
        <v>19</v>
      </c>
      <c r="E6" s="33">
        <v>52</v>
      </c>
      <c r="F6" s="34" t="s">
        <v>11</v>
      </c>
      <c r="G6" s="84" t="s">
        <v>23</v>
      </c>
      <c r="H6" s="87">
        <v>208</v>
      </c>
    </row>
    <row r="7" spans="1:8" ht="24.95" customHeight="1">
      <c r="A7" s="22"/>
      <c r="B7" s="26">
        <f t="shared" ref="B7:B30" si="0">ROW()-4</f>
        <v>3</v>
      </c>
      <c r="C7" s="31" t="s">
        <v>20</v>
      </c>
      <c r="D7" s="32" t="s">
        <v>21</v>
      </c>
      <c r="E7" s="33">
        <v>52</v>
      </c>
      <c r="F7" s="34" t="s">
        <v>11</v>
      </c>
      <c r="G7" s="84" t="s">
        <v>22</v>
      </c>
      <c r="H7" s="87" t="s">
        <v>132</v>
      </c>
    </row>
    <row r="8" spans="1:8" ht="24.95" customHeight="1">
      <c r="A8" s="22"/>
      <c r="B8" s="26">
        <f t="shared" si="0"/>
        <v>4</v>
      </c>
      <c r="C8" s="37" t="s">
        <v>20</v>
      </c>
      <c r="D8" s="32" t="s">
        <v>52</v>
      </c>
      <c r="E8" s="33">
        <v>52</v>
      </c>
      <c r="F8" s="38" t="s">
        <v>11</v>
      </c>
      <c r="G8" s="84" t="s">
        <v>53</v>
      </c>
      <c r="H8" s="87" t="s">
        <v>133</v>
      </c>
    </row>
    <row r="9" spans="1:8" ht="24.95" customHeight="1">
      <c r="A9" s="22"/>
      <c r="B9" s="26">
        <f t="shared" si="0"/>
        <v>5</v>
      </c>
      <c r="C9" s="37" t="s">
        <v>20</v>
      </c>
      <c r="D9" s="32" t="s">
        <v>64</v>
      </c>
      <c r="E9" s="33">
        <v>52</v>
      </c>
      <c r="F9" s="38" t="s">
        <v>65</v>
      </c>
      <c r="G9" s="84" t="s">
        <v>66</v>
      </c>
      <c r="H9" s="87"/>
    </row>
    <row r="10" spans="1:8" ht="24.95" customHeight="1">
      <c r="A10" s="22"/>
      <c r="B10" s="26"/>
      <c r="C10" s="67"/>
      <c r="D10" s="66">
        <v>1447</v>
      </c>
      <c r="E10" s="68"/>
      <c r="F10" s="69"/>
      <c r="G10" s="85"/>
      <c r="H10" s="87"/>
    </row>
    <row r="11" spans="1:8" ht="24.95" customHeight="1">
      <c r="A11" s="22"/>
      <c r="B11" s="26">
        <f t="shared" si="0"/>
        <v>7</v>
      </c>
      <c r="C11" s="37" t="s">
        <v>47</v>
      </c>
      <c r="D11" s="32" t="s">
        <v>91</v>
      </c>
      <c r="E11" s="33">
        <v>27.9</v>
      </c>
      <c r="F11" s="38" t="s">
        <v>41</v>
      </c>
      <c r="G11" s="84"/>
      <c r="H11" s="87"/>
    </row>
    <row r="12" spans="1:8" ht="24.95" customHeight="1">
      <c r="A12" s="22"/>
      <c r="B12" s="26">
        <f t="shared" si="0"/>
        <v>8</v>
      </c>
      <c r="C12" s="37" t="s">
        <v>83</v>
      </c>
      <c r="D12" s="60" t="s">
        <v>90</v>
      </c>
      <c r="E12" s="33">
        <v>21</v>
      </c>
      <c r="F12" s="38" t="s">
        <v>41</v>
      </c>
      <c r="G12" s="84"/>
      <c r="H12" s="87"/>
    </row>
    <row r="13" spans="1:8" ht="24.95" customHeight="1">
      <c r="A13" s="22"/>
      <c r="B13" s="26">
        <f t="shared" si="0"/>
        <v>9</v>
      </c>
      <c r="C13" s="37" t="s">
        <v>85</v>
      </c>
      <c r="D13" s="32" t="s">
        <v>87</v>
      </c>
      <c r="E13" s="33">
        <v>60</v>
      </c>
      <c r="F13" s="38" t="s">
        <v>41</v>
      </c>
      <c r="G13" s="84" t="s">
        <v>86</v>
      </c>
      <c r="H13" s="87" t="s">
        <v>128</v>
      </c>
    </row>
    <row r="14" spans="1:8" ht="24.95" customHeight="1">
      <c r="A14" s="22"/>
      <c r="B14" s="26">
        <f t="shared" si="0"/>
        <v>10</v>
      </c>
      <c r="C14" s="37" t="s">
        <v>93</v>
      </c>
      <c r="D14" s="32" t="s">
        <v>94</v>
      </c>
      <c r="E14" s="33">
        <v>4</v>
      </c>
      <c r="F14" s="38" t="s">
        <v>41</v>
      </c>
      <c r="G14" s="84" t="s">
        <v>95</v>
      </c>
      <c r="H14" s="87"/>
    </row>
    <row r="15" spans="1:8" ht="24.95" customHeight="1">
      <c r="A15" s="22"/>
      <c r="B15" s="26">
        <f t="shared" si="0"/>
        <v>11</v>
      </c>
      <c r="C15" s="37" t="s">
        <v>97</v>
      </c>
      <c r="D15" s="64" t="s">
        <v>110</v>
      </c>
      <c r="E15" s="33">
        <v>17.5</v>
      </c>
      <c r="F15" s="38" t="s">
        <v>96</v>
      </c>
      <c r="G15" s="84" t="s">
        <v>98</v>
      </c>
      <c r="H15" s="87"/>
    </row>
    <row r="16" spans="1:8" ht="24.95" customHeight="1">
      <c r="A16" s="22"/>
      <c r="B16" s="26">
        <f t="shared" si="0"/>
        <v>12</v>
      </c>
      <c r="C16" s="37" t="s">
        <v>104</v>
      </c>
      <c r="D16" s="32" t="s">
        <v>105</v>
      </c>
      <c r="E16" s="33">
        <v>1.5</v>
      </c>
      <c r="F16" s="38" t="s">
        <v>41</v>
      </c>
      <c r="G16" s="84"/>
      <c r="H16" s="87"/>
    </row>
    <row r="17" spans="1:8" ht="24.95" customHeight="1">
      <c r="A17" s="22"/>
      <c r="B17" s="26">
        <f t="shared" si="0"/>
        <v>13</v>
      </c>
      <c r="C17" s="37" t="s">
        <v>104</v>
      </c>
      <c r="D17" s="32" t="s">
        <v>105</v>
      </c>
      <c r="E17" s="33">
        <v>3</v>
      </c>
      <c r="F17" s="38" t="s">
        <v>50</v>
      </c>
      <c r="G17" s="84" t="s">
        <v>106</v>
      </c>
      <c r="H17" s="87"/>
    </row>
    <row r="18" spans="1:8" ht="24.95" customHeight="1">
      <c r="A18" s="22"/>
      <c r="B18" s="26">
        <f t="shared" si="0"/>
        <v>14</v>
      </c>
      <c r="C18" s="37" t="s">
        <v>93</v>
      </c>
      <c r="D18" s="32" t="s">
        <v>109</v>
      </c>
      <c r="E18" s="33">
        <v>5.5</v>
      </c>
      <c r="F18" s="38" t="s">
        <v>50</v>
      </c>
      <c r="G18" s="84" t="s">
        <v>106</v>
      </c>
      <c r="H18" s="87">
        <v>44771</v>
      </c>
    </row>
    <row r="19" spans="1:8" ht="24.95" customHeight="1">
      <c r="A19" s="22"/>
      <c r="B19" s="26">
        <f t="shared" si="0"/>
        <v>15</v>
      </c>
      <c r="C19" s="37" t="s">
        <v>93</v>
      </c>
      <c r="D19" s="32" t="s">
        <v>109</v>
      </c>
      <c r="E19" s="33">
        <v>2</v>
      </c>
      <c r="F19" s="38" t="s">
        <v>50</v>
      </c>
      <c r="G19" s="84" t="s">
        <v>106</v>
      </c>
      <c r="H19" s="87" t="s">
        <v>111</v>
      </c>
    </row>
    <row r="20" spans="1:8" ht="24.95" customHeight="1">
      <c r="A20" s="22"/>
      <c r="B20" s="26">
        <f t="shared" si="0"/>
        <v>16</v>
      </c>
      <c r="C20" s="37" t="s">
        <v>93</v>
      </c>
      <c r="D20" s="32" t="s">
        <v>113</v>
      </c>
      <c r="E20" s="33">
        <v>29</v>
      </c>
      <c r="F20" s="38" t="s">
        <v>41</v>
      </c>
      <c r="G20" s="84"/>
      <c r="H20" s="87">
        <v>44946</v>
      </c>
    </row>
    <row r="21" spans="1:8" ht="24.95" customHeight="1">
      <c r="A21" s="22"/>
      <c r="B21" s="26">
        <f t="shared" si="0"/>
        <v>17</v>
      </c>
      <c r="C21" s="37" t="s">
        <v>114</v>
      </c>
      <c r="D21" s="32" t="s">
        <v>109</v>
      </c>
      <c r="E21" s="33">
        <v>-7.5</v>
      </c>
      <c r="F21" s="38" t="s">
        <v>115</v>
      </c>
      <c r="G21" s="84" t="s">
        <v>116</v>
      </c>
      <c r="H21" s="87" t="s">
        <v>134</v>
      </c>
    </row>
    <row r="22" spans="1:8" ht="24.95" customHeight="1">
      <c r="A22" s="22"/>
      <c r="B22" s="26">
        <f t="shared" si="0"/>
        <v>18</v>
      </c>
      <c r="C22" s="37" t="s">
        <v>85</v>
      </c>
      <c r="D22" s="32" t="s">
        <v>125</v>
      </c>
      <c r="E22" s="33">
        <v>60</v>
      </c>
      <c r="F22" s="38" t="s">
        <v>41</v>
      </c>
      <c r="G22" s="84" t="s">
        <v>86</v>
      </c>
      <c r="H22" s="87" t="s">
        <v>127</v>
      </c>
    </row>
    <row r="23" spans="1:8" ht="24.95" customHeight="1">
      <c r="A23" s="22"/>
      <c r="B23" s="26">
        <f t="shared" si="0"/>
        <v>19</v>
      </c>
      <c r="C23" s="37"/>
      <c r="D23" s="32"/>
      <c r="E23" s="33"/>
      <c r="F23" s="38"/>
      <c r="G23" s="84"/>
      <c r="H23" s="87"/>
    </row>
    <row r="24" spans="1:8" ht="24.95" customHeight="1">
      <c r="A24" s="22"/>
      <c r="B24" s="26">
        <f t="shared" si="0"/>
        <v>20</v>
      </c>
      <c r="C24" s="37"/>
      <c r="D24" s="32"/>
      <c r="E24" s="33"/>
      <c r="F24" s="38"/>
      <c r="G24" s="84"/>
      <c r="H24" s="87"/>
    </row>
    <row r="25" spans="1:8" ht="24.95" customHeight="1">
      <c r="A25" s="22"/>
      <c r="B25" s="26">
        <f t="shared" si="0"/>
        <v>21</v>
      </c>
      <c r="C25" s="37"/>
      <c r="D25" s="32"/>
      <c r="E25" s="33"/>
      <c r="F25" s="38"/>
      <c r="G25" s="84"/>
      <c r="H25" s="87"/>
    </row>
    <row r="26" spans="1:8" ht="24.95" customHeight="1">
      <c r="A26" s="22"/>
      <c r="B26" s="26">
        <f t="shared" si="0"/>
        <v>22</v>
      </c>
      <c r="C26" s="37"/>
      <c r="D26" s="32"/>
      <c r="E26" s="33"/>
      <c r="F26" s="38"/>
      <c r="G26" s="84"/>
      <c r="H26" s="87"/>
    </row>
    <row r="27" spans="1:8" ht="24.95" customHeight="1">
      <c r="A27" s="22"/>
      <c r="B27" s="26">
        <f t="shared" si="0"/>
        <v>23</v>
      </c>
      <c r="C27" s="37"/>
      <c r="D27" s="32"/>
      <c r="E27" s="33"/>
      <c r="F27" s="38"/>
      <c r="G27" s="84"/>
      <c r="H27" s="87"/>
    </row>
    <row r="28" spans="1:8" ht="24.95" customHeight="1">
      <c r="A28" s="22"/>
      <c r="B28" s="26">
        <f t="shared" si="0"/>
        <v>24</v>
      </c>
      <c r="C28" s="37"/>
      <c r="D28" s="32"/>
      <c r="E28" s="33"/>
      <c r="F28" s="38"/>
      <c r="G28" s="84"/>
      <c r="H28" s="87"/>
    </row>
    <row r="29" spans="1:8" ht="24.95" customHeight="1">
      <c r="A29" s="22"/>
      <c r="B29" s="26">
        <f t="shared" si="0"/>
        <v>25</v>
      </c>
      <c r="C29" s="37"/>
      <c r="D29" s="32"/>
      <c r="E29" s="33"/>
      <c r="F29" s="38"/>
      <c r="G29" s="84"/>
      <c r="H29" s="87"/>
    </row>
    <row r="30" spans="1:8" ht="24.95" customHeight="1" thickBot="1">
      <c r="A30" s="22"/>
      <c r="B30" s="26">
        <f t="shared" si="0"/>
        <v>26</v>
      </c>
      <c r="C30" s="39"/>
      <c r="D30" s="40"/>
      <c r="E30" s="41"/>
      <c r="F30" s="42"/>
      <c r="G30" s="86"/>
      <c r="H30" s="88"/>
    </row>
    <row r="31" spans="1:8" ht="24.95" customHeight="1" thickTop="1"/>
    <row r="34" spans="8:8" ht="24.95" customHeight="1">
      <c r="H34" s="81"/>
    </row>
  </sheetData>
  <mergeCells count="1">
    <mergeCell ref="E2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G29"/>
  <sheetViews>
    <sheetView rightToLeft="1" topLeftCell="A4" zoomScaleNormal="100" workbookViewId="0">
      <selection activeCell="H8" sqref="H8"/>
    </sheetView>
  </sheetViews>
  <sheetFormatPr defaultColWidth="11" defaultRowHeight="15"/>
  <cols>
    <col min="1" max="1" width="2.109375" customWidth="1"/>
    <col min="2" max="2" width="4.44140625" bestFit="1" customWidth="1"/>
    <col min="3" max="3" width="16" customWidth="1"/>
    <col min="4" max="4" width="31.6640625" bestFit="1" customWidth="1"/>
    <col min="5" max="5" width="14.88671875" bestFit="1" customWidth="1"/>
    <col min="7" max="7" width="29.33203125" bestFit="1" customWidth="1"/>
  </cols>
  <sheetData>
    <row r="1" spans="1:7" ht="23.1" customHeight="1" thickBot="1">
      <c r="A1" s="22"/>
      <c r="B1" s="22"/>
      <c r="C1" s="22"/>
      <c r="D1" s="23"/>
      <c r="E1" s="23"/>
      <c r="F1" s="23"/>
      <c r="G1" s="22"/>
    </row>
    <row r="2" spans="1:7" ht="47.25" thickBot="1">
      <c r="A2" s="22"/>
      <c r="B2" s="27"/>
      <c r="C2" s="44" t="s">
        <v>18</v>
      </c>
      <c r="D2" s="61">
        <f>SUM(E5:E28)</f>
        <v>0</v>
      </c>
      <c r="E2" s="122" t="s">
        <v>34</v>
      </c>
      <c r="F2" s="122"/>
      <c r="G2" s="122"/>
    </row>
    <row r="3" spans="1:7" ht="24.95" customHeight="1" thickBot="1">
      <c r="A3" s="22"/>
      <c r="B3" s="22"/>
      <c r="C3" s="22"/>
      <c r="D3" s="24"/>
      <c r="E3" s="22"/>
      <c r="F3" s="23"/>
      <c r="G3" s="112">
        <f ca="1">TODAY()</f>
        <v>46086</v>
      </c>
    </row>
    <row r="4" spans="1:7" ht="24.95" customHeight="1" thickTop="1">
      <c r="A4" s="25"/>
      <c r="B4" s="25"/>
      <c r="C4" s="28" t="s">
        <v>14</v>
      </c>
      <c r="D4" s="29" t="s">
        <v>2</v>
      </c>
      <c r="E4" s="29" t="s">
        <v>8</v>
      </c>
      <c r="F4" s="29" t="s">
        <v>10</v>
      </c>
      <c r="G4" s="30" t="s">
        <v>4</v>
      </c>
    </row>
    <row r="5" spans="1:7" ht="24.95" customHeight="1">
      <c r="A5" s="26"/>
      <c r="B5" s="26">
        <f>ROW()-4</f>
        <v>1</v>
      </c>
      <c r="C5" s="31" t="s">
        <v>15</v>
      </c>
      <c r="D5" s="32" t="s">
        <v>16</v>
      </c>
      <c r="E5" s="33">
        <v>1</v>
      </c>
      <c r="F5" s="34" t="s">
        <v>28</v>
      </c>
      <c r="G5" s="35" t="s">
        <v>17</v>
      </c>
    </row>
    <row r="6" spans="1:7" ht="24.95" customHeight="1">
      <c r="A6" s="22"/>
      <c r="B6" s="26">
        <f t="shared" ref="B6:B28" si="0">ROW()-4</f>
        <v>2</v>
      </c>
      <c r="C6" s="31" t="s">
        <v>31</v>
      </c>
      <c r="D6" s="32"/>
      <c r="E6" s="33">
        <v>9.1999999999999993</v>
      </c>
      <c r="F6" s="34" t="s">
        <v>28</v>
      </c>
      <c r="G6" s="36" t="s">
        <v>32</v>
      </c>
    </row>
    <row r="7" spans="1:7" ht="24.95" customHeight="1">
      <c r="A7" s="22"/>
      <c r="B7" s="26">
        <f t="shared" si="0"/>
        <v>3</v>
      </c>
      <c r="C7" s="31" t="s">
        <v>48</v>
      </c>
      <c r="D7" s="32" t="s">
        <v>51</v>
      </c>
      <c r="E7" s="33">
        <v>12.5</v>
      </c>
      <c r="F7" s="34" t="s">
        <v>41</v>
      </c>
      <c r="G7" s="36" t="s">
        <v>49</v>
      </c>
    </row>
    <row r="8" spans="1:7" ht="24.95" customHeight="1">
      <c r="A8" s="22"/>
      <c r="B8" s="26">
        <f t="shared" si="0"/>
        <v>4</v>
      </c>
      <c r="C8" s="37" t="s">
        <v>47</v>
      </c>
      <c r="D8" s="32" t="s">
        <v>42</v>
      </c>
      <c r="E8" s="33">
        <v>0</v>
      </c>
      <c r="F8" s="38" t="s">
        <v>50</v>
      </c>
      <c r="G8" s="53">
        <v>29.9</v>
      </c>
    </row>
    <row r="9" spans="1:7" ht="24.95" customHeight="1">
      <c r="A9" s="22"/>
      <c r="B9" s="26">
        <f t="shared" si="0"/>
        <v>5</v>
      </c>
      <c r="C9" s="37" t="s">
        <v>48</v>
      </c>
      <c r="D9" s="32" t="s">
        <v>42</v>
      </c>
      <c r="E9" s="33">
        <v>10</v>
      </c>
      <c r="F9" s="38" t="s">
        <v>41</v>
      </c>
      <c r="G9" s="36" t="s">
        <v>54</v>
      </c>
    </row>
    <row r="10" spans="1:7" ht="24.95" customHeight="1">
      <c r="A10" s="22"/>
      <c r="B10" s="26">
        <f t="shared" si="0"/>
        <v>6</v>
      </c>
      <c r="C10" s="37" t="s">
        <v>48</v>
      </c>
      <c r="D10" s="32" t="s">
        <v>42</v>
      </c>
      <c r="E10" s="33">
        <v>7.5</v>
      </c>
      <c r="F10" s="38" t="s">
        <v>41</v>
      </c>
      <c r="G10" s="36" t="s">
        <v>55</v>
      </c>
    </row>
    <row r="11" spans="1:7" ht="24.95" customHeight="1">
      <c r="A11" s="22"/>
      <c r="B11" s="26">
        <f t="shared" si="0"/>
        <v>7</v>
      </c>
      <c r="C11" s="37" t="s">
        <v>56</v>
      </c>
      <c r="D11" s="32" t="s">
        <v>57</v>
      </c>
      <c r="E11" s="55">
        <v>-40.200000000000003</v>
      </c>
      <c r="F11" s="38" t="s">
        <v>58</v>
      </c>
      <c r="G11" s="36" t="s">
        <v>59</v>
      </c>
    </row>
    <row r="12" spans="1:7" ht="24.95" customHeight="1">
      <c r="A12" s="22"/>
      <c r="B12" s="26">
        <f t="shared" si="0"/>
        <v>8</v>
      </c>
      <c r="C12" s="37"/>
      <c r="D12" s="32"/>
      <c r="E12" s="33"/>
      <c r="F12" s="38"/>
      <c r="G12" s="36"/>
    </row>
    <row r="13" spans="1:7" ht="24.95" customHeight="1">
      <c r="A13" s="22"/>
      <c r="B13" s="26">
        <f t="shared" si="0"/>
        <v>9</v>
      </c>
      <c r="C13" s="37"/>
      <c r="D13" s="32"/>
      <c r="E13" s="33"/>
      <c r="F13" s="38"/>
      <c r="G13" s="36"/>
    </row>
    <row r="14" spans="1:7" ht="24.95" customHeight="1">
      <c r="A14" s="22"/>
      <c r="B14" s="26">
        <f t="shared" si="0"/>
        <v>10</v>
      </c>
      <c r="C14" s="37"/>
      <c r="D14" s="32"/>
      <c r="E14" s="33"/>
      <c r="F14" s="38"/>
      <c r="G14" s="36"/>
    </row>
    <row r="15" spans="1:7" ht="24.95" customHeight="1">
      <c r="A15" s="22"/>
      <c r="B15" s="26">
        <f t="shared" si="0"/>
        <v>11</v>
      </c>
      <c r="C15" s="37"/>
      <c r="D15" s="32"/>
      <c r="E15" s="33"/>
      <c r="F15" s="38"/>
      <c r="G15" s="36"/>
    </row>
    <row r="16" spans="1:7" ht="24.95" customHeight="1">
      <c r="A16" s="22"/>
      <c r="B16" s="26">
        <f t="shared" si="0"/>
        <v>12</v>
      </c>
      <c r="C16" s="37"/>
      <c r="D16" s="32"/>
      <c r="E16" s="33"/>
      <c r="F16" s="38"/>
      <c r="G16" s="36"/>
    </row>
    <row r="17" spans="1:7" ht="24.95" customHeight="1">
      <c r="A17" s="22"/>
      <c r="B17" s="26">
        <f t="shared" si="0"/>
        <v>13</v>
      </c>
      <c r="C17" s="37"/>
      <c r="D17" s="32"/>
      <c r="E17" s="33"/>
      <c r="F17" s="38"/>
      <c r="G17" s="36"/>
    </row>
    <row r="18" spans="1:7" ht="24.95" customHeight="1">
      <c r="A18" s="22"/>
      <c r="B18" s="26">
        <f t="shared" si="0"/>
        <v>14</v>
      </c>
      <c r="C18" s="37"/>
      <c r="D18" s="32"/>
      <c r="E18" s="33"/>
      <c r="F18" s="38"/>
      <c r="G18" s="36"/>
    </row>
    <row r="19" spans="1:7" ht="24.95" customHeight="1">
      <c r="A19" s="22"/>
      <c r="B19" s="26">
        <f t="shared" si="0"/>
        <v>15</v>
      </c>
      <c r="C19" s="37"/>
      <c r="D19" s="32"/>
      <c r="E19" s="33"/>
      <c r="F19" s="38"/>
      <c r="G19" s="36"/>
    </row>
    <row r="20" spans="1:7" ht="24.95" customHeight="1">
      <c r="A20" s="22"/>
      <c r="B20" s="26">
        <f t="shared" si="0"/>
        <v>16</v>
      </c>
      <c r="C20" s="37"/>
      <c r="D20" s="32"/>
      <c r="E20" s="33"/>
      <c r="F20" s="38"/>
      <c r="G20" s="36"/>
    </row>
    <row r="21" spans="1:7" ht="24.95" customHeight="1">
      <c r="A21" s="22"/>
      <c r="B21" s="26">
        <f t="shared" si="0"/>
        <v>17</v>
      </c>
      <c r="C21" s="37"/>
      <c r="D21" s="32"/>
      <c r="E21" s="33"/>
      <c r="F21" s="38"/>
      <c r="G21" s="36"/>
    </row>
    <row r="22" spans="1:7" ht="24.95" customHeight="1">
      <c r="A22" s="22"/>
      <c r="B22" s="26">
        <f t="shared" si="0"/>
        <v>18</v>
      </c>
      <c r="C22" s="37"/>
      <c r="D22" s="32"/>
      <c r="E22" s="33"/>
      <c r="F22" s="38"/>
      <c r="G22" s="36"/>
    </row>
    <row r="23" spans="1:7" ht="24.95" customHeight="1">
      <c r="A23" s="22"/>
      <c r="B23" s="26">
        <f t="shared" si="0"/>
        <v>19</v>
      </c>
      <c r="C23" s="37"/>
      <c r="D23" s="32"/>
      <c r="E23" s="33"/>
      <c r="F23" s="38"/>
      <c r="G23" s="36"/>
    </row>
    <row r="24" spans="1:7" ht="24.95" customHeight="1">
      <c r="A24" s="22"/>
      <c r="B24" s="26">
        <f t="shared" si="0"/>
        <v>20</v>
      </c>
      <c r="C24" s="37"/>
      <c r="D24" s="32"/>
      <c r="E24" s="33"/>
      <c r="F24" s="38"/>
      <c r="G24" s="36"/>
    </row>
    <row r="25" spans="1:7" ht="24.95" customHeight="1">
      <c r="A25" s="22"/>
      <c r="B25" s="26">
        <f t="shared" si="0"/>
        <v>21</v>
      </c>
      <c r="C25" s="37"/>
      <c r="D25" s="32"/>
      <c r="E25" s="33"/>
      <c r="F25" s="38"/>
      <c r="G25" s="36"/>
    </row>
    <row r="26" spans="1:7" ht="24.95" customHeight="1">
      <c r="A26" s="22"/>
      <c r="B26" s="26">
        <f t="shared" si="0"/>
        <v>22</v>
      </c>
      <c r="C26" s="37"/>
      <c r="D26" s="32"/>
      <c r="E26" s="33"/>
      <c r="F26" s="38"/>
      <c r="G26" s="36"/>
    </row>
    <row r="27" spans="1:7" ht="24.95" customHeight="1">
      <c r="A27" s="22"/>
      <c r="B27" s="26">
        <f t="shared" si="0"/>
        <v>23</v>
      </c>
      <c r="C27" s="37"/>
      <c r="D27" s="32"/>
      <c r="E27" s="33"/>
      <c r="F27" s="38"/>
      <c r="G27" s="36"/>
    </row>
    <row r="28" spans="1:7" ht="24.95" customHeight="1" thickBot="1">
      <c r="A28" s="22"/>
      <c r="B28" s="26">
        <f t="shared" si="0"/>
        <v>24</v>
      </c>
      <c r="C28" s="39"/>
      <c r="D28" s="40"/>
      <c r="E28" s="41"/>
      <c r="F28" s="42"/>
      <c r="G28" s="43"/>
    </row>
    <row r="29" spans="1:7" ht="24.95" customHeight="1" thickTop="1"/>
  </sheetData>
  <mergeCells count="1">
    <mergeCell ref="E2:G2"/>
  </mergeCells>
  <pageMargins left="0.7" right="0.7" top="0.75" bottom="0.75" header="0.3" footer="0.3"/>
  <pageSetup paperSize="2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الجمعية</vt:lpstr>
      <vt:lpstr>التثويبات</vt:lpstr>
      <vt:lpstr>المصروفات</vt:lpstr>
      <vt:lpstr>سيد علي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s.alis.martzoom@gmail.com</dc:creator>
  <cp:lastModifiedBy>PC</cp:lastModifiedBy>
  <cp:lastPrinted>2025-05-07T16:14:46Z</cp:lastPrinted>
  <dcterms:created xsi:type="dcterms:W3CDTF">2024-05-11T11:45:14Z</dcterms:created>
  <dcterms:modified xsi:type="dcterms:W3CDTF">2026-03-05T10:01:54Z</dcterms:modified>
</cp:coreProperties>
</file>